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-Para (pt-br)" sheetId="1" state="visible" r:id="rId3"/>
    <sheet name="Resumo" sheetId="2" state="visible" r:id="rId4"/>
  </sheets>
  <definedNames>
    <definedName function="false" hidden="true" localSheetId="0" name="_xlnm._FilterDatabase" vbProcedure="false">'De-Para (pt-br)'!$A$1:$F$51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<sst xmlns="http://schemas.openxmlformats.org/spreadsheetml/2006/main" count="325" uniqueCount="201">
  <si>
    <t xml:space="preserve">Seção</t>
  </si>
  <si>
    <t xml:space="preserve">Página (nova estrutura)</t>
  </si>
  <si>
    <t xml:space="preserve">Título novo</t>
  </si>
  <si>
    <t xml:space="preserve">Origem na Documentation (pt-br)</t>
  </si>
  <si>
    <t xml:space="preserve">Status</t>
  </si>
  <si>
    <t xml:space="preserve">Observação</t>
  </si>
  <si>
    <t xml:space="preserve">Introdução</t>
  </si>
  <si>
    <t xml:space="preserve">introducao/index.md</t>
  </si>
  <si>
    <t xml:space="preserve">index.md</t>
  </si>
  <si>
    <t xml:space="preserve">Parcial</t>
  </si>
  <si>
    <t xml:space="preserve">Abertura da seção; aproveitar o texto do index atual e enxugar.</t>
  </si>
  <si>
    <t xml:space="preserve">introducao/conceitos-basicos/index.md</t>
  </si>
  <si>
    <t xml:space="preserve">O que é o Open Finance Brasil</t>
  </si>
  <si>
    <t xml:space="preserve">openFinance/openFinanceBrasil/index.md + ecossistema/index.md</t>
  </si>
  <si>
    <t xml:space="preserve">Consolidar</t>
  </si>
  <si>
    <t xml:space="preserve">Juntar visão geral + ecossistema numa página só.</t>
  </si>
  <si>
    <t xml:space="preserve">introducao/conceitos-basicos/jornada-consentimento.md</t>
  </si>
  <si>
    <t xml:space="preserve">Jornada de Consentimento</t>
  </si>
  <si>
    <t xml:space="preserve">openFinance/openFinanceBrasil/jornadaConsentimento/index.md</t>
  </si>
  <si>
    <t xml:space="preserve">Direto</t>
  </si>
  <si>
    <t xml:space="preserve">Mapeamento 1:1.</t>
  </si>
  <si>
    <t xml:space="preserve">introducao/conceitos-basicos/pcm.md</t>
  </si>
  <si>
    <t xml:space="preserve">Plataforma de Coleta de Métricas (PCM)</t>
  </si>
  <si>
    <t xml:space="preserve">openFinance/openFinanceBrasil/pcm/index.md</t>
  </si>
  <si>
    <t xml:space="preserve">introducao/conceitos-basicos/perfis/index.md</t>
  </si>
  <si>
    <t xml:space="preserve">Perfis de participação</t>
  </si>
  <si>
    <t xml:space="preserve">openFinance/openFinanceBrasil/perfisParticipacao/index.md (+ detentorDeContas, transmissorDeDados, receptorDeDados, itp, dadosAbertos)</t>
  </si>
  <si>
    <t xml:space="preserve">Reunir o resumo dos perfis; o detalhe vai para 'para-desenvolvedores'.</t>
  </si>
  <si>
    <t xml:space="preserve">introducao/conceitos-basicos/requisitos.md</t>
  </si>
  <si>
    <t xml:space="preserve">Requisitos (limites)</t>
  </si>
  <si>
    <t xml:space="preserve">openFinance/openFinanceBrasil/requisitosNF.md</t>
  </si>
  <si>
    <t xml:space="preserve">Base nos requisitos não funcionais; confirmar se 'limites' cobre tudo.</t>
  </si>
  <si>
    <t xml:space="preserve">introducao/visao-cliente/index.md</t>
  </si>
  <si>
    <t xml:space="preserve">Visão cliente: o que preciso disponibilizar?</t>
  </si>
  <si>
    <t xml:space="preserve">(derivar de perfisParticipacao + index)</t>
  </si>
  <si>
    <t xml:space="preserve">Em construção</t>
  </si>
  <si>
    <t xml:space="preserve">Página nova de visão executiva; sem origem direta.</t>
  </si>
  <si>
    <t xml:space="preserve">Produtos</t>
  </si>
  <si>
    <t xml:space="preserve">produtos/index.md</t>
  </si>
  <si>
    <t xml:space="preserve">openFinance/opusOpenFinance/index.md</t>
  </si>
  <si>
    <t xml:space="preserve">Página guarda-chuva dos produtos.</t>
  </si>
  <si>
    <t xml:space="preserve">produtos/plataforma-opus-open-finance.md</t>
  </si>
  <si>
    <t xml:space="preserve">Plataforma Opus Open Finance</t>
  </si>
  <si>
    <t xml:space="preserve">openFinance/opusOpenFinance/index.md + arquiteturaDaPlataforma/index.md</t>
  </si>
  <si>
    <t xml:space="preserve">Descrição do produto + arquitetura.</t>
  </si>
  <si>
    <t xml:space="preserve">produtos/opustpp.md</t>
  </si>
  <si>
    <t xml:space="preserve">Iniciação de Pagamentos e Recepção de Dados</t>
  </si>
  <si>
    <t xml:space="preserve">openFinance/opusOpenFinance/iniciacaoDePagamentosERecepcaoDeDados/index.md + conceitos.md</t>
  </si>
  <si>
    <t xml:space="preserve">RENOMEAR: 'OpusTPP' é nome interno. Usar o nome do produto.</t>
  </si>
  <si>
    <t xml:space="preserve">produtos/recepcao-de-dados.md</t>
  </si>
  <si>
    <t xml:space="preserve">Recepção de Dados</t>
  </si>
  <si>
    <t xml:space="preserve">iniciacaoDePagamentosERecepcaoDeDados/funcionamento/recepcaoDeDados.md + consentimentoCompartilhado/recepcaoDeDados.md</t>
  </si>
  <si>
    <t xml:space="preserve">Duas fontes tratam de recepção; unificar.</t>
  </si>
  <si>
    <t xml:space="preserve">produtos/opus-data-receiver.md</t>
  </si>
  <si>
    <t xml:space="preserve">Opus Data Receiver</t>
  </si>
  <si>
    <t xml:space="preserve">(confirmar origem)</t>
  </si>
  <si>
    <t xml:space="preserve">Não localizei página dedicada; confirmar se é nome comercial de 'Recepção de Dados' ou produto à parte.</t>
  </si>
  <si>
    <t xml:space="preserve">Para Desenvolvedores</t>
  </si>
  <si>
    <t xml:space="preserve">para-desenvolvedores/index.md</t>
  </si>
  <si>
    <t xml:space="preserve">openFinance/opusOpenFinance/integracaoDaPlataforma/index.md</t>
  </si>
  <si>
    <t xml:space="preserve">Página guarda-chuva da área técnica.</t>
  </si>
  <si>
    <t xml:space="preserve">para-desenvolvedores/perfis/detentor-transmissor/index.md</t>
  </si>
  <si>
    <t xml:space="preserve">Detentor de Conta / Transmissor de Dados</t>
  </si>
  <si>
    <t xml:space="preserve">consentimentoCompartilhado/detentorContasETransmissaoDados.md + integracaoDaPlataforma/compartilhamentoDeDados/index.md</t>
  </si>
  <si>
    <t xml:space="preserve">Visão do perfil no lado técnico.</t>
  </si>
  <si>
    <t xml:space="preserve">para-desenvolvedores/perfis/detentor-transmissor/discovery.md</t>
  </si>
  <si>
    <t xml:space="preserve">Discovery de Recursos</t>
  </si>
  <si>
    <t xml:space="preserve">integracaoDaPlataforma/pagamentos/discoveryRecursos.md</t>
  </si>
  <si>
    <t xml:space="preserve">para-desenvolvedores/perfis/detentor-transmissor/financial-data.md</t>
  </si>
  <si>
    <t xml:space="preserve">Conectores de Dados Financeiros</t>
  </si>
  <si>
    <t xml:space="preserve">integracaoDaPlataforma/compartilhamentoDeDados/* (contas, cartaoDeCredito, cambio, dadosCadastrais, investimentos/*, operacoesDeCredito/*)</t>
  </si>
  <si>
    <t xml:space="preserve">~15 páginas de APIs por tipo de dado; decidir se resume ou mantém granular.</t>
  </si>
  <si>
    <t xml:space="preserve">para-desenvolvedores/perfis/detentor-transmissor/pagamentos.md</t>
  </si>
  <si>
    <t xml:space="preserve">Conectores de Pagamento</t>
  </si>
  <si>
    <t xml:space="preserve">integracaoDaPlataforma/pagamentos/* (cenariosPagamentos, validacoesPagamentos, discoveryRecursos)</t>
  </si>
  <si>
    <t xml:space="preserve">Reunir o conteúdo de pagamentos.</t>
  </si>
  <si>
    <t xml:space="preserve">para-desenvolvedores/perfis/detentor-transmissor/componentes.md</t>
  </si>
  <si>
    <t xml:space="preserve">Componentes Camel Suportados</t>
  </si>
  <si>
    <t xml:space="preserve">(parcial em pagamentos/discoveryRecursos.md)</t>
  </si>
  <si>
    <t xml:space="preserve">Conteúdo técnico de Camel praticamente inexistente hoje.</t>
  </si>
  <si>
    <t xml:space="preserve">para-desenvolvedores/perfis/detentor-transmissor/camel-helper.md</t>
  </si>
  <si>
    <t xml:space="preserve">Classe utilitária camelHelper</t>
  </si>
  <si>
    <t xml:space="preserve">(sem origem)</t>
  </si>
  <si>
    <t xml:space="preserve">Página técnica nova.</t>
  </si>
  <si>
    <t xml:space="preserve">para-desenvolvedores/perfis/itp/index.md</t>
  </si>
  <si>
    <t xml:space="preserve">Iniciador de Transação de Pagamento (ITP)</t>
  </si>
  <si>
    <t xml:space="preserve">perfisParticipacao/itp/index.md + itp/onboardingITP.md + integracaoDaPlataforma/pagamentos</t>
  </si>
  <si>
    <t xml:space="preserve">Visão do perfil ITP no lado técnico.</t>
  </si>
  <si>
    <t xml:space="preserve">para-desenvolvedores/perfis/portabilidade/index.md</t>
  </si>
  <si>
    <t xml:space="preserve">Portabilidade de Crédito</t>
  </si>
  <si>
    <t xml:space="preserve">integracaoDaPlataforma/portabilidadeCredito/index.md</t>
  </si>
  <si>
    <t xml:space="preserve">para-desenvolvedores/perfis/receptor/index.md</t>
  </si>
  <si>
    <t xml:space="preserve">Receptor de Dados</t>
  </si>
  <si>
    <t xml:space="preserve">perfisParticipacao/receptorDeDados.md + consentimentoCompartilhado/recepcaoDeDados.md</t>
  </si>
  <si>
    <t xml:space="preserve">Visão do perfil receptor no lado técnico.</t>
  </si>
  <si>
    <t xml:space="preserve">para-desenvolvedores/ferramentas/connector-tester.md</t>
  </si>
  <si>
    <t xml:space="preserve">Connector Tester</t>
  </si>
  <si>
    <t xml:space="preserve">Ferramenta sem documentação atual.</t>
  </si>
  <si>
    <t xml:space="preserve">para-desenvolvedores/ferramentas/opus-tpp-demo.md</t>
  </si>
  <si>
    <t xml:space="preserve">Opus TPP Demo</t>
  </si>
  <si>
    <t xml:space="preserve">Não localizei página dedicada na Documentation; você disse que temos — confirmar onde está.</t>
  </si>
  <si>
    <t xml:space="preserve">para-desenvolvedores/ferramentas/quick-simulator.md</t>
  </si>
  <si>
    <t xml:space="preserve">Quick Simulator</t>
  </si>
  <si>
    <t xml:space="preserve">Implantação</t>
  </si>
  <si>
    <t xml:space="preserve">implantacao/index.md</t>
  </si>
  <si>
    <t xml:space="preserve">openFinance/opusOpenFinance/implantacaoDaPlataforma/index.md</t>
  </si>
  <si>
    <t xml:space="preserve">implantacao/camada-integracao/camada-integracao.md</t>
  </si>
  <si>
    <t xml:space="preserve">Camada de Integração</t>
  </si>
  <si>
    <t xml:space="preserve">opusOpenFinance/arquiteturaDaPlataforma/index.md (parcial) + implantacaoDaPlataforma</t>
  </si>
  <si>
    <t xml:space="preserve">Extrair a parte de camada de integração da arquitetura.</t>
  </si>
  <si>
    <t xml:space="preserve">implantacao/certificados/certificados.md</t>
  </si>
  <si>
    <t xml:space="preserve">Certificados Digitais</t>
  </si>
  <si>
    <t xml:space="preserve">openFinanceBrasil/certificacoesECertificados.md + iniciacao.../configuracao/certificadosRegulatorios.md</t>
  </si>
  <si>
    <t xml:space="preserve">Unificar certificações + certificados regulatórios.</t>
  </si>
  <si>
    <t xml:space="preserve">implantacao/diretorio-hml/diretorio-hml.md</t>
  </si>
  <si>
    <t xml:space="preserve">Diretório de Participantes — Homologação</t>
  </si>
  <si>
    <t xml:space="preserve">(menções em onboardingITP / deployDaPlataforma)</t>
  </si>
  <si>
    <t xml:space="preserve">Sem página dedicada de diretório HML hoje.</t>
  </si>
  <si>
    <t xml:space="preserve">implantacao/integracao/detentor-transmissor/checklist.md</t>
  </si>
  <si>
    <t xml:space="preserve">Checklist: Detentor / Transmissor</t>
  </si>
  <si>
    <t xml:space="preserve">(derivar de compartilhamentoDeDados)</t>
  </si>
  <si>
    <t xml:space="preserve">Checklist novo; montar a partir do conteúdo de integração.</t>
  </si>
  <si>
    <t xml:space="preserve">implantacao/integracao/itp/checklist.md</t>
  </si>
  <si>
    <t xml:space="preserve">Checklist: ITP</t>
  </si>
  <si>
    <t xml:space="preserve">(derivar de itp/onboardingITP.md)</t>
  </si>
  <si>
    <t xml:space="preserve">Checklist novo.</t>
  </si>
  <si>
    <t xml:space="preserve">implantacao/integracao/receptor/checklist.md</t>
  </si>
  <si>
    <t xml:space="preserve">Checklist: Receptor</t>
  </si>
  <si>
    <t xml:space="preserve">(derivar de recepcaoDeDados)</t>
  </si>
  <si>
    <t xml:space="preserve">implantacao/interface-usuario/interface-usuario.md</t>
  </si>
  <si>
    <t xml:space="preserve">Interface de Usuário</t>
  </si>
  <si>
    <t xml:space="preserve">integracaoDaPlataforma/appEWeb/index.md + internetBanking.md + mobileBanking.md + handoff.md</t>
  </si>
  <si>
    <t xml:space="preserve">Reunir App/Web, Internet e Mobile Banking e Handoff.</t>
  </si>
  <si>
    <t xml:space="preserve">Preparativos p/ Produção</t>
  </si>
  <si>
    <t xml:space="preserve">preparativos-producao/index.md</t>
  </si>
  <si>
    <t xml:space="preserve">Preparativos para Produção</t>
  </si>
  <si>
    <t xml:space="preserve">(derivar de implantacaoDaPlataforma / certificacoes)</t>
  </si>
  <si>
    <t xml:space="preserve">Página guarda-chuva da fase de pré-produção.</t>
  </si>
  <si>
    <t xml:space="preserve">preparativos-producao/certificacao-funcional.md</t>
  </si>
  <si>
    <t xml:space="preserve">Aprovação dos Testes de Certificação Funcional</t>
  </si>
  <si>
    <t xml:space="preserve">openFinanceBrasil/certificacoesECertificados.md</t>
  </si>
  <si>
    <t xml:space="preserve">Base nas certificações; detalhar a parte funcional.</t>
  </si>
  <si>
    <t xml:space="preserve">preparativos-producao/diretorio-prd/conceito.md</t>
  </si>
  <si>
    <t xml:space="preserve">Conceito — Diretório de Participantes PRD</t>
  </si>
  <si>
    <t xml:space="preserve">(menções em deployDaPlataforma / onboardingITP)</t>
  </si>
  <si>
    <t xml:space="preserve">Sem página dedicada de diretório PRD hoje.</t>
  </si>
  <si>
    <t xml:space="preserve">preparativos-producao/diretorio-prd/cadastro.md</t>
  </si>
  <si>
    <t xml:space="preserve">Cadastro — Diretório de Participantes PRD</t>
  </si>
  <si>
    <t xml:space="preserve">Passo a passo de cadastro a escrever.</t>
  </si>
  <si>
    <t xml:space="preserve">Acompanhamento em Produção</t>
  </si>
  <si>
    <t xml:space="preserve">acompanhamento-producao/index.md</t>
  </si>
  <si>
    <t xml:space="preserve">Página guarda-chuva nova.</t>
  </si>
  <si>
    <t xml:space="preserve">acompanhamento-producao/monitoramento.md</t>
  </si>
  <si>
    <t xml:space="preserve">Monitoramento</t>
  </si>
  <si>
    <t xml:space="preserve">arquiteturaDaPlataforma/index.md (Prometheus/Grafana) + implantacaoDaPlataforma/index.md</t>
  </si>
  <si>
    <t xml:space="preserve">Há base sobre observabilidade; expandir para operação em produção.</t>
  </si>
  <si>
    <t xml:space="preserve">acompanhamento-producao/customer-service/index.md</t>
  </si>
  <si>
    <t xml:space="preserve">Customer Service Opus</t>
  </si>
  <si>
    <t xml:space="preserve">Sem documentação atual.</t>
  </si>
  <si>
    <t xml:space="preserve">acompanhamento-producao/diretorio-prd/index.md</t>
  </si>
  <si>
    <t xml:space="preserve">Diretório de Participantes — Produção</t>
  </si>
  <si>
    <t xml:space="preserve">(menções em deployDaPlataforma)</t>
  </si>
  <si>
    <t xml:space="preserve">Sem página dedicada.</t>
  </si>
  <si>
    <t xml:space="preserve">acompanhamento-producao/portal-backoffice/index.md</t>
  </si>
  <si>
    <t xml:space="preserve">Portal Backoffice</t>
  </si>
  <si>
    <t xml:space="preserve">iniciacao.../funcionamento/backoffice.md</t>
  </si>
  <si>
    <t xml:space="preserve">CONFIRMADO: temos conteúdo de backoffice.</t>
  </si>
  <si>
    <t xml:space="preserve">acompanhamento-producao/portal-backoffice/apis-consentimentos.md</t>
  </si>
  <si>
    <t xml:space="preserve">APIs de Gestão de Consentimentos</t>
  </si>
  <si>
    <t xml:space="preserve">opusOpenFinance/apisGestaoDeConsentimentos.md + consentimentoCompartilhado/gestaoDeConsentimento.md</t>
  </si>
  <si>
    <t xml:space="preserve">Mapeamento direto.</t>
  </si>
  <si>
    <t xml:space="preserve">acompanhamento-producao/portal-backoffice/customizacao.md</t>
  </si>
  <si>
    <t xml:space="preserve">Customização Visual</t>
  </si>
  <si>
    <t xml:space="preserve">A escrever.</t>
  </si>
  <si>
    <t xml:space="preserve">acompanhamento-producao/portal-backoffice/falhas-indisponibilidades.md</t>
  </si>
  <si>
    <t xml:space="preserve">Falhas e Indisponibilidades</t>
  </si>
  <si>
    <t xml:space="preserve">acompanhamento-producao/portal-backoffice/federation.md</t>
  </si>
  <si>
    <t xml:space="preserve">Autenticação via Federation</t>
  </si>
  <si>
    <t xml:space="preserve">acompanhamento-producao/relatorios-regulatorios/index.md</t>
  </si>
  <si>
    <t xml:space="preserve">Relatórios Regulatórios</t>
  </si>
  <si>
    <t xml:space="preserve">acompanhamento-producao/relatorios-regulatorios/opustpp-relatorios.md</t>
  </si>
  <si>
    <t xml:space="preserve">Relatórios — OpusTPP</t>
  </si>
  <si>
    <t xml:space="preserve">A escrever (rever nome 'OpusTPP').</t>
  </si>
  <si>
    <t xml:space="preserve">acompanhamento-producao/relatorios-regulatorios/plataforma-semanal.md</t>
  </si>
  <si>
    <t xml:space="preserve">Relatórios Semanais — Plataforma</t>
  </si>
  <si>
    <t xml:space="preserve">acompanhamento-producao/relatorios-regulatorios/plataforma-semestral.md</t>
  </si>
  <si>
    <t xml:space="preserve">Relatório Semestral — Plataforma</t>
  </si>
  <si>
    <t xml:space="preserve">Resumo de cobertura — nova estrutura (pt-br)</t>
  </si>
  <si>
    <t xml:space="preserve">Qtd. páginas</t>
  </si>
  <si>
    <t xml:space="preserve">% do total</t>
  </si>
  <si>
    <t xml:space="preserve">Total</t>
  </si>
  <si>
    <t xml:space="preserve">Legenda:</t>
  </si>
  <si>
    <t xml:space="preserve">• Direto — conteúdo existe e migra praticamente 1:1.</t>
  </si>
  <si>
    <t xml:space="preserve">• Consolidar — várias páginas atuais se juntam em uma nova (decidir nível de detalhe).</t>
  </si>
  <si>
    <t xml:space="preserve">• Parcial — existe base, mas precisa ser extraída/adaptada/expandida.</t>
  </si>
  <si>
    <t xml:space="preserve">• Em construção — sem conteúdo hoje; entra como página placeholder.</t>
  </si>
  <si>
    <t xml:space="preserve">Observações:</t>
  </si>
  <si>
    <t xml:space="preserve">• Este de-para cobre apenas pt-br. en/es espelham a mesma estrutura depois.</t>
  </si>
  <si>
    <t xml:space="preserve">• Frontmatter NÃO é convertido nesta fase (decisão da equipe) — passo posterior.</t>
  </si>
  <si>
    <t xml:space="preserve">• 'OpusTPP' é nome interno: revisar títulos/slugs antes de publicar.</t>
  </si>
  <si>
    <t xml:space="preserve">• As 206 specs OpenAPI (.yml) entram na fase de API Reference, não aqui.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</si>
</sst>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8A4B00"/>
      <name val="Arial"/>
      <family val="0"/>
      <charset val="1"/>
    </font>
    <font>
      <b val="true"/>
      <sz val="10"/>
      <color rgb="FF7A5B00"/>
      <name val="Arial"/>
      <family val="0"/>
      <charset val="1"/>
    </font>
    <font>
      <b val="true"/>
      <sz val="10"/>
      <color rgb="FF1E6B2F"/>
      <name val="Arial"/>
      <family val="0"/>
      <charset val="1"/>
    </font>
    <font>
      <b val="true"/>
      <sz val="10"/>
      <color rgb="FF9C1F1F"/>
      <name val="Arial"/>
      <family val="0"/>
      <charset val="1"/>
    </font>
    <font>
      <b val="true"/>
      <sz val="14"/>
      <color rgb="FF1F5FA8"/>
      <name val="Arial"/>
      <family val="0"/>
      <charset val="1"/>
    </font>
    <font>
      <b val="true"/>
      <sz val="11"/>
      <color rgb="FF1E6B2F"/>
      <name val="Arial"/>
      <family val="0"/>
      <charset val="1"/>
    </font>
    <font>
      <b val="true"/>
      <sz val="11"/>
      <color rgb="FF7A5B00"/>
      <name val="Arial"/>
      <family val="0"/>
      <charset val="1"/>
    </font>
    <font>
      <b val="true"/>
      <sz val="11"/>
      <color rgb="FF8A4B00"/>
      <name val="Arial"/>
      <family val="0"/>
      <charset val="1"/>
    </font>
    <font>
      <b val="true"/>
      <sz val="11"/>
      <color rgb="FF9C1F1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5FA8"/>
        <bgColor rgb="FF3366FF"/>
      </patternFill>
    </fill>
    <fill>
      <patternFill patternType="solid">
        <fgColor rgb="FFF7FAFF"/>
        <bgColor rgb="FFFFFFFF"/>
      </patternFill>
    </fill>
    <fill>
      <patternFill patternType="solid">
        <fgColor rgb="FFFFE0B2"/>
        <bgColor rgb="FFFCE4A6"/>
      </patternFill>
    </fill>
    <fill>
      <patternFill patternType="solid">
        <fgColor rgb="FFFCE4A6"/>
        <bgColor rgb="FFFFE0B2"/>
      </patternFill>
    </fill>
    <fill>
      <patternFill patternType="solid">
        <fgColor rgb="FFC6EFCE"/>
        <bgColor rgb="FFCCFFFF"/>
      </patternFill>
    </fill>
    <fill>
      <patternFill patternType="solid">
        <fgColor rgb="FFF4C7C3"/>
        <bgColor rgb="FFFFE0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5FA8"/>
          <bgColor rgb="FF000000"/>
        </patternFill>
      </fill>
    </dxf>
    <dxf>
      <fill>
        <patternFill patternType="solid">
          <fgColor rgb="FFF7FA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 patternType="solid">
          <fgColor rgb="FFFCE4A6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1E6B2F"/>
          <bgColor rgb="FF000000"/>
        </patternFill>
      </fill>
    </dxf>
    <dxf>
      <fill>
        <patternFill patternType="solid">
          <fgColor rgb="FF7A5B00"/>
          <bgColor rgb="FF000000"/>
        </patternFill>
      </fill>
    </dxf>
    <dxf>
      <fill>
        <patternFill patternType="solid">
          <fgColor rgb="FF8A4B00"/>
          <bgColor rgb="FF000000"/>
        </patternFill>
      </fill>
    </dxf>
    <dxf>
      <fill>
        <patternFill patternType="solid">
          <fgColor rgb="FF9C1F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2F"/>
      <rgbColor rgb="FF000080"/>
      <rgbColor rgb="FF7A5B00"/>
      <rgbColor rgb="FF800080"/>
      <rgbColor rgb="FF008080"/>
      <rgbColor rgb="FFFFE0B2"/>
      <rgbColor rgb="FF808080"/>
      <rgbColor rgb="FF9999FF"/>
      <rgbColor rgb="FF8A4B00"/>
      <rgbColor rgb="FFF7FAFF"/>
      <rgbColor rgb="FFCCFFFF"/>
      <rgbColor rgb="FF660066"/>
      <rgbColor rgb="FFFF8080"/>
      <rgbColor rgb="FF1F5FA8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A6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1F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40"/>
    <col collapsed="false" customWidth="true" hidden="false" outlineLevel="0" max="4" min="4" style="0" width="52"/>
    <col collapsed="false" customWidth="true" hidden="false" outlineLevel="0" max="5" min="5" style="0" width="15"/>
    <col collapsed="false" customWidth="true" hidden="false" outlineLevel="0" max="6" min="6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s">
        <v>6</v>
      </c>
      <c r="B2" s="2" t="s">
        <v>7</v>
      </c>
      <c r="C2" s="2" t="s">
        <v>6</v>
      </c>
      <c r="D2" s="2" t="s">
        <v>8</v>
      </c>
      <c r="E2" s="3" t="s">
        <v>9</v>
      </c>
      <c r="F2" s="2" t="s">
        <v>10</v>
      </c>
    </row>
    <row r="3" customFormat="false" ht="23.85" hidden="false" customHeight="false" outlineLevel="0" collapsed="false">
      <c r="A3" s="4" t="s">
        <v>6</v>
      </c>
      <c r="B3" s="4" t="s">
        <v>11</v>
      </c>
      <c r="C3" s="4" t="s">
        <v>12</v>
      </c>
      <c r="D3" s="4" t="s">
        <v>13</v>
      </c>
      <c r="E3" s="5" t="s">
        <v>14</v>
      </c>
      <c r="F3" s="4" t="s">
        <v>15</v>
      </c>
    </row>
    <row r="4" customFormat="false" ht="23.85" hidden="false" customHeight="false" outlineLevel="0" collapsed="false">
      <c r="A4" s="2" t="s">
        <v>6</v>
      </c>
      <c r="B4" s="2" t="s">
        <v>16</v>
      </c>
      <c r="C4" s="2" t="s">
        <v>17</v>
      </c>
      <c r="D4" s="2" t="s">
        <v>18</v>
      </c>
      <c r="E4" s="6" t="s">
        <v>19</v>
      </c>
      <c r="F4" s="2" t="s">
        <v>20</v>
      </c>
    </row>
    <row r="5" customFormat="false" ht="15" hidden="false" customHeight="false" outlineLevel="0" collapsed="false">
      <c r="A5" s="4" t="s">
        <v>6</v>
      </c>
      <c r="B5" s="4" t="s">
        <v>21</v>
      </c>
      <c r="C5" s="4" t="s">
        <v>22</v>
      </c>
      <c r="D5" s="4" t="s">
        <v>23</v>
      </c>
      <c r="E5" s="6" t="s">
        <v>19</v>
      </c>
      <c r="F5" s="4" t="s">
        <v>20</v>
      </c>
    </row>
    <row r="6" customFormat="false" ht="35.05" hidden="false" customHeight="false" outlineLevel="0" collapsed="false">
      <c r="A6" s="2" t="s">
        <v>6</v>
      </c>
      <c r="B6" s="2" t="s">
        <v>24</v>
      </c>
      <c r="C6" s="2" t="s">
        <v>25</v>
      </c>
      <c r="D6" s="2" t="s">
        <v>26</v>
      </c>
      <c r="E6" s="5" t="s">
        <v>14</v>
      </c>
      <c r="F6" s="2" t="s">
        <v>27</v>
      </c>
    </row>
    <row r="7" customFormat="false" ht="23.85" hidden="false" customHeight="false" outlineLevel="0" collapsed="false">
      <c r="A7" s="4" t="s">
        <v>6</v>
      </c>
      <c r="B7" s="4" t="s">
        <v>28</v>
      </c>
      <c r="C7" s="4" t="s">
        <v>29</v>
      </c>
      <c r="D7" s="4" t="s">
        <v>30</v>
      </c>
      <c r="E7" s="3" t="s">
        <v>9</v>
      </c>
      <c r="F7" s="4" t="s">
        <v>31</v>
      </c>
    </row>
    <row r="8" customFormat="false" ht="15" hidden="false" customHeight="false" outlineLevel="0" collapsed="false">
      <c r="A8" s="2" t="s">
        <v>6</v>
      </c>
      <c r="B8" s="2" t="s">
        <v>32</v>
      </c>
      <c r="C8" s="2" t="s">
        <v>33</v>
      </c>
      <c r="D8" s="2" t="s">
        <v>34</v>
      </c>
      <c r="E8" s="7" t="s">
        <v>35</v>
      </c>
      <c r="F8" s="2" t="s">
        <v>36</v>
      </c>
    </row>
    <row r="9" customFormat="false" ht="15" hidden="false" customHeight="false" outlineLevel="0" collapsed="false">
      <c r="A9" s="4" t="s">
        <v>37</v>
      </c>
      <c r="B9" s="4" t="s">
        <v>38</v>
      </c>
      <c r="C9" s="4" t="s">
        <v>37</v>
      </c>
      <c r="D9" s="4" t="s">
        <v>39</v>
      </c>
      <c r="E9" s="3" t="s">
        <v>9</v>
      </c>
      <c r="F9" s="4" t="s">
        <v>40</v>
      </c>
    </row>
    <row r="10" customFormat="false" ht="23.85" hidden="false" customHeight="false" outlineLevel="0" collapsed="false">
      <c r="A10" s="2" t="s">
        <v>37</v>
      </c>
      <c r="B10" s="2" t="s">
        <v>41</v>
      </c>
      <c r="C10" s="2" t="s">
        <v>42</v>
      </c>
      <c r="D10" s="2" t="s">
        <v>43</v>
      </c>
      <c r="E10" s="5" t="s">
        <v>14</v>
      </c>
      <c r="F10" s="2" t="s">
        <v>44</v>
      </c>
    </row>
    <row r="11" customFormat="false" ht="35.05" hidden="false" customHeight="false" outlineLevel="0" collapsed="false">
      <c r="A11" s="4" t="s">
        <v>37</v>
      </c>
      <c r="B11" s="4" t="s">
        <v>45</v>
      </c>
      <c r="C11" s="4" t="s">
        <v>46</v>
      </c>
      <c r="D11" s="4" t="s">
        <v>47</v>
      </c>
      <c r="E11" s="6" t="s">
        <v>19</v>
      </c>
      <c r="F11" s="4" t="s">
        <v>48</v>
      </c>
    </row>
    <row r="12" customFormat="false" ht="35.05" hidden="false" customHeight="false" outlineLevel="0" collapsed="false">
      <c r="A12" s="2" t="s">
        <v>37</v>
      </c>
      <c r="B12" s="2" t="s">
        <v>49</v>
      </c>
      <c r="C12" s="2" t="s">
        <v>50</v>
      </c>
      <c r="D12" s="2" t="s">
        <v>51</v>
      </c>
      <c r="E12" s="5" t="s">
        <v>14</v>
      </c>
      <c r="F12" s="2" t="s">
        <v>52</v>
      </c>
    </row>
    <row r="13" customFormat="false" ht="23.85" hidden="false" customHeight="false" outlineLevel="0" collapsed="false">
      <c r="A13" s="4" t="s">
        <v>37</v>
      </c>
      <c r="B13" s="4" t="s">
        <v>53</v>
      </c>
      <c r="C13" s="4" t="s">
        <v>54</v>
      </c>
      <c r="D13" s="4" t="s">
        <v>55</v>
      </c>
      <c r="E13" s="7" t="s">
        <v>35</v>
      </c>
      <c r="F13" s="4" t="s">
        <v>56</v>
      </c>
    </row>
    <row r="14" customFormat="false" ht="23.85" hidden="false" customHeight="false" outlineLevel="0" collapsed="false">
      <c r="A14" s="2" t="s">
        <v>57</v>
      </c>
      <c r="B14" s="2" t="s">
        <v>58</v>
      </c>
      <c r="C14" s="2" t="s">
        <v>57</v>
      </c>
      <c r="D14" s="2" t="s">
        <v>59</v>
      </c>
      <c r="E14" s="3" t="s">
        <v>9</v>
      </c>
      <c r="F14" s="2" t="s">
        <v>60</v>
      </c>
    </row>
    <row r="15" customFormat="false" ht="35.05" hidden="false" customHeight="false" outlineLevel="0" collapsed="false">
      <c r="A15" s="4" t="s">
        <v>57</v>
      </c>
      <c r="B15" s="4" t="s">
        <v>61</v>
      </c>
      <c r="C15" s="4" t="s">
        <v>62</v>
      </c>
      <c r="D15" s="4" t="s">
        <v>63</v>
      </c>
      <c r="E15" s="5" t="s">
        <v>14</v>
      </c>
      <c r="F15" s="4" t="s">
        <v>64</v>
      </c>
    </row>
    <row r="16" customFormat="false" ht="23.85" hidden="false" customHeight="false" outlineLevel="0" collapsed="false">
      <c r="A16" s="2" t="s">
        <v>57</v>
      </c>
      <c r="B16" s="2" t="s">
        <v>65</v>
      </c>
      <c r="C16" s="2" t="s">
        <v>66</v>
      </c>
      <c r="D16" s="2" t="s">
        <v>67</v>
      </c>
      <c r="E16" s="6" t="s">
        <v>19</v>
      </c>
      <c r="F16" s="2" t="s">
        <v>20</v>
      </c>
    </row>
    <row r="17" customFormat="false" ht="35.05" hidden="false" customHeight="false" outlineLevel="0" collapsed="false">
      <c r="A17" s="4" t="s">
        <v>57</v>
      </c>
      <c r="B17" s="4" t="s">
        <v>68</v>
      </c>
      <c r="C17" s="4" t="s">
        <v>69</v>
      </c>
      <c r="D17" s="4" t="s">
        <v>70</v>
      </c>
      <c r="E17" s="5" t="s">
        <v>14</v>
      </c>
      <c r="F17" s="4" t="s">
        <v>71</v>
      </c>
    </row>
    <row r="18" customFormat="false" ht="23.85" hidden="false" customHeight="false" outlineLevel="0" collapsed="false">
      <c r="A18" s="2" t="s">
        <v>57</v>
      </c>
      <c r="B18" s="2" t="s">
        <v>72</v>
      </c>
      <c r="C18" s="2" t="s">
        <v>73</v>
      </c>
      <c r="D18" s="2" t="s">
        <v>74</v>
      </c>
      <c r="E18" s="5" t="s">
        <v>14</v>
      </c>
      <c r="F18" s="2" t="s">
        <v>75</v>
      </c>
    </row>
    <row r="19" customFormat="false" ht="23.85" hidden="false" customHeight="false" outlineLevel="0" collapsed="false">
      <c r="A19" s="4" t="s">
        <v>57</v>
      </c>
      <c r="B19" s="4" t="s">
        <v>76</v>
      </c>
      <c r="C19" s="4" t="s">
        <v>77</v>
      </c>
      <c r="D19" s="4" t="s">
        <v>78</v>
      </c>
      <c r="E19" s="7" t="s">
        <v>35</v>
      </c>
      <c r="F19" s="4" t="s">
        <v>79</v>
      </c>
    </row>
    <row r="20" customFormat="false" ht="23.85" hidden="false" customHeight="false" outlineLevel="0" collapsed="false">
      <c r="A20" s="2" t="s">
        <v>57</v>
      </c>
      <c r="B20" s="2" t="s">
        <v>80</v>
      </c>
      <c r="C20" s="2" t="s">
        <v>81</v>
      </c>
      <c r="D20" s="2" t="s">
        <v>82</v>
      </c>
      <c r="E20" s="7" t="s">
        <v>35</v>
      </c>
      <c r="F20" s="2" t="s">
        <v>83</v>
      </c>
    </row>
    <row r="21" customFormat="false" ht="23.85" hidden="false" customHeight="false" outlineLevel="0" collapsed="false">
      <c r="A21" s="4" t="s">
        <v>57</v>
      </c>
      <c r="B21" s="4" t="s">
        <v>84</v>
      </c>
      <c r="C21" s="4" t="s">
        <v>85</v>
      </c>
      <c r="D21" s="4" t="s">
        <v>86</v>
      </c>
      <c r="E21" s="5" t="s">
        <v>14</v>
      </c>
      <c r="F21" s="4" t="s">
        <v>87</v>
      </c>
    </row>
    <row r="22" customFormat="false" ht="15" hidden="false" customHeight="false" outlineLevel="0" collapsed="false">
      <c r="A22" s="2" t="s">
        <v>57</v>
      </c>
      <c r="B22" s="2" t="s">
        <v>88</v>
      </c>
      <c r="C22" s="2" t="s">
        <v>89</v>
      </c>
      <c r="D22" s="2" t="s">
        <v>90</v>
      </c>
      <c r="E22" s="6" t="s">
        <v>19</v>
      </c>
      <c r="F22" s="2" t="s">
        <v>20</v>
      </c>
    </row>
    <row r="23" customFormat="false" ht="23.85" hidden="false" customHeight="false" outlineLevel="0" collapsed="false">
      <c r="A23" s="4" t="s">
        <v>57</v>
      </c>
      <c r="B23" s="4" t="s">
        <v>91</v>
      </c>
      <c r="C23" s="4" t="s">
        <v>92</v>
      </c>
      <c r="D23" s="4" t="s">
        <v>93</v>
      </c>
      <c r="E23" s="5" t="s">
        <v>14</v>
      </c>
      <c r="F23" s="4" t="s">
        <v>94</v>
      </c>
    </row>
    <row r="24" customFormat="false" ht="15" hidden="false" customHeight="false" outlineLevel="0" collapsed="false">
      <c r="A24" s="2" t="s">
        <v>57</v>
      </c>
      <c r="B24" s="2" t="s">
        <v>95</v>
      </c>
      <c r="C24" s="2" t="s">
        <v>96</v>
      </c>
      <c r="D24" s="2" t="s">
        <v>82</v>
      </c>
      <c r="E24" s="7" t="s">
        <v>35</v>
      </c>
      <c r="F24" s="2" t="s">
        <v>97</v>
      </c>
    </row>
    <row r="25" customFormat="false" ht="23.85" hidden="false" customHeight="false" outlineLevel="0" collapsed="false">
      <c r="A25" s="4" t="s">
        <v>57</v>
      </c>
      <c r="B25" s="4" t="s">
        <v>98</v>
      </c>
      <c r="C25" s="4" t="s">
        <v>99</v>
      </c>
      <c r="D25" s="4" t="s">
        <v>55</v>
      </c>
      <c r="E25" s="7" t="s">
        <v>35</v>
      </c>
      <c r="F25" s="4" t="s">
        <v>100</v>
      </c>
    </row>
    <row r="26" customFormat="false" ht="15" hidden="false" customHeight="false" outlineLevel="0" collapsed="false">
      <c r="A26" s="2" t="s">
        <v>57</v>
      </c>
      <c r="B26" s="2" t="s">
        <v>101</v>
      </c>
      <c r="C26" s="2" t="s">
        <v>102</v>
      </c>
      <c r="D26" s="2" t="s">
        <v>82</v>
      </c>
      <c r="E26" s="7" t="s">
        <v>35</v>
      </c>
      <c r="F26" s="2" t="s">
        <v>97</v>
      </c>
    </row>
    <row r="27" customFormat="false" ht="23.85" hidden="false" customHeight="false" outlineLevel="0" collapsed="false">
      <c r="A27" s="4" t="s">
        <v>103</v>
      </c>
      <c r="B27" s="4" t="s">
        <v>104</v>
      </c>
      <c r="C27" s="4" t="s">
        <v>103</v>
      </c>
      <c r="D27" s="4" t="s">
        <v>105</v>
      </c>
      <c r="E27" s="6" t="s">
        <v>19</v>
      </c>
      <c r="F27" s="4" t="s">
        <v>20</v>
      </c>
    </row>
    <row r="28" customFormat="false" ht="23.85" hidden="false" customHeight="false" outlineLevel="0" collapsed="false">
      <c r="A28" s="2" t="s">
        <v>103</v>
      </c>
      <c r="B28" s="2" t="s">
        <v>106</v>
      </c>
      <c r="C28" s="2" t="s">
        <v>107</v>
      </c>
      <c r="D28" s="2" t="s">
        <v>108</v>
      </c>
      <c r="E28" s="3" t="s">
        <v>9</v>
      </c>
      <c r="F28" s="2" t="s">
        <v>109</v>
      </c>
    </row>
    <row r="29" customFormat="false" ht="23.85" hidden="false" customHeight="false" outlineLevel="0" collapsed="false">
      <c r="A29" s="4" t="s">
        <v>103</v>
      </c>
      <c r="B29" s="4" t="s">
        <v>110</v>
      </c>
      <c r="C29" s="4" t="s">
        <v>111</v>
      </c>
      <c r="D29" s="4" t="s">
        <v>112</v>
      </c>
      <c r="E29" s="5" t="s">
        <v>14</v>
      </c>
      <c r="F29" s="4" t="s">
        <v>113</v>
      </c>
    </row>
    <row r="30" customFormat="false" ht="15" hidden="false" customHeight="false" outlineLevel="0" collapsed="false">
      <c r="A30" s="2" t="s">
        <v>103</v>
      </c>
      <c r="B30" s="2" t="s">
        <v>114</v>
      </c>
      <c r="C30" s="2" t="s">
        <v>115</v>
      </c>
      <c r="D30" s="2" t="s">
        <v>116</v>
      </c>
      <c r="E30" s="7" t="s">
        <v>35</v>
      </c>
      <c r="F30" s="2" t="s">
        <v>117</v>
      </c>
    </row>
    <row r="31" customFormat="false" ht="23.85" hidden="false" customHeight="false" outlineLevel="0" collapsed="false">
      <c r="A31" s="4" t="s">
        <v>103</v>
      </c>
      <c r="B31" s="4" t="s">
        <v>118</v>
      </c>
      <c r="C31" s="4" t="s">
        <v>119</v>
      </c>
      <c r="D31" s="4" t="s">
        <v>120</v>
      </c>
      <c r="E31" s="7" t="s">
        <v>35</v>
      </c>
      <c r="F31" s="4" t="s">
        <v>121</v>
      </c>
    </row>
    <row r="32" customFormat="false" ht="15" hidden="false" customHeight="false" outlineLevel="0" collapsed="false">
      <c r="A32" s="2" t="s">
        <v>103</v>
      </c>
      <c r="B32" s="2" t="s">
        <v>122</v>
      </c>
      <c r="C32" s="2" t="s">
        <v>123</v>
      </c>
      <c r="D32" s="2" t="s">
        <v>124</v>
      </c>
      <c r="E32" s="7" t="s">
        <v>35</v>
      </c>
      <c r="F32" s="2" t="s">
        <v>125</v>
      </c>
    </row>
    <row r="33" customFormat="false" ht="15" hidden="false" customHeight="false" outlineLevel="0" collapsed="false">
      <c r="A33" s="4" t="s">
        <v>103</v>
      </c>
      <c r="B33" s="4" t="s">
        <v>126</v>
      </c>
      <c r="C33" s="4" t="s">
        <v>127</v>
      </c>
      <c r="D33" s="4" t="s">
        <v>128</v>
      </c>
      <c r="E33" s="7" t="s">
        <v>35</v>
      </c>
      <c r="F33" s="4" t="s">
        <v>125</v>
      </c>
    </row>
    <row r="34" customFormat="false" ht="23.85" hidden="false" customHeight="false" outlineLevel="0" collapsed="false">
      <c r="A34" s="2" t="s">
        <v>103</v>
      </c>
      <c r="B34" s="2" t="s">
        <v>129</v>
      </c>
      <c r="C34" s="2" t="s">
        <v>130</v>
      </c>
      <c r="D34" s="2" t="s">
        <v>131</v>
      </c>
      <c r="E34" s="5" t="s">
        <v>14</v>
      </c>
      <c r="F34" s="2" t="s">
        <v>132</v>
      </c>
    </row>
    <row r="35" customFormat="false" ht="15" hidden="false" customHeight="false" outlineLevel="0" collapsed="false">
      <c r="A35" s="4" t="s">
        <v>133</v>
      </c>
      <c r="B35" s="4" t="s">
        <v>134</v>
      </c>
      <c r="C35" s="4" t="s">
        <v>135</v>
      </c>
      <c r="D35" s="4" t="s">
        <v>136</v>
      </c>
      <c r="E35" s="3" t="s">
        <v>9</v>
      </c>
      <c r="F35" s="4" t="s">
        <v>137</v>
      </c>
    </row>
    <row r="36" customFormat="false" ht="15" hidden="false" customHeight="false" outlineLevel="0" collapsed="false">
      <c r="A36" s="2" t="s">
        <v>133</v>
      </c>
      <c r="B36" s="2" t="s">
        <v>138</v>
      </c>
      <c r="C36" s="2" t="s">
        <v>139</v>
      </c>
      <c r="D36" s="2" t="s">
        <v>140</v>
      </c>
      <c r="E36" s="3" t="s">
        <v>9</v>
      </c>
      <c r="F36" s="2" t="s">
        <v>141</v>
      </c>
    </row>
    <row r="37" customFormat="false" ht="15" hidden="false" customHeight="false" outlineLevel="0" collapsed="false">
      <c r="A37" s="4" t="s">
        <v>133</v>
      </c>
      <c r="B37" s="4" t="s">
        <v>142</v>
      </c>
      <c r="C37" s="4" t="s">
        <v>143</v>
      </c>
      <c r="D37" s="4" t="s">
        <v>144</v>
      </c>
      <c r="E37" s="7" t="s">
        <v>35</v>
      </c>
      <c r="F37" s="4" t="s">
        <v>145</v>
      </c>
    </row>
    <row r="38" customFormat="false" ht="15" hidden="false" customHeight="false" outlineLevel="0" collapsed="false">
      <c r="A38" s="2" t="s">
        <v>133</v>
      </c>
      <c r="B38" s="2" t="s">
        <v>146</v>
      </c>
      <c r="C38" s="2" t="s">
        <v>147</v>
      </c>
      <c r="D38" s="2" t="s">
        <v>82</v>
      </c>
      <c r="E38" s="7" t="s">
        <v>35</v>
      </c>
      <c r="F38" s="2" t="s">
        <v>148</v>
      </c>
    </row>
    <row r="39" customFormat="false" ht="23.85" hidden="false" customHeight="false" outlineLevel="0" collapsed="false">
      <c r="A39" s="4" t="s">
        <v>149</v>
      </c>
      <c r="B39" s="4" t="s">
        <v>150</v>
      </c>
      <c r="C39" s="4" t="s">
        <v>149</v>
      </c>
      <c r="D39" s="4" t="s">
        <v>82</v>
      </c>
      <c r="E39" s="7" t="s">
        <v>35</v>
      </c>
      <c r="F39" s="4" t="s">
        <v>151</v>
      </c>
    </row>
    <row r="40" customFormat="false" ht="23.85" hidden="false" customHeight="false" outlineLevel="0" collapsed="false">
      <c r="A40" s="2" t="s">
        <v>149</v>
      </c>
      <c r="B40" s="2" t="s">
        <v>152</v>
      </c>
      <c r="C40" s="2" t="s">
        <v>153</v>
      </c>
      <c r="D40" s="2" t="s">
        <v>154</v>
      </c>
      <c r="E40" s="3" t="s">
        <v>9</v>
      </c>
      <c r="F40" s="2" t="s">
        <v>155</v>
      </c>
    </row>
    <row r="41" customFormat="false" ht="23.85" hidden="false" customHeight="false" outlineLevel="0" collapsed="false">
      <c r="A41" s="4" t="s">
        <v>149</v>
      </c>
      <c r="B41" s="4" t="s">
        <v>156</v>
      </c>
      <c r="C41" s="4" t="s">
        <v>157</v>
      </c>
      <c r="D41" s="4" t="s">
        <v>82</v>
      </c>
      <c r="E41" s="7" t="s">
        <v>35</v>
      </c>
      <c r="F41" s="4" t="s">
        <v>158</v>
      </c>
    </row>
    <row r="42" customFormat="false" ht="23.85" hidden="false" customHeight="false" outlineLevel="0" collapsed="false">
      <c r="A42" s="2" t="s">
        <v>149</v>
      </c>
      <c r="B42" s="2" t="s">
        <v>159</v>
      </c>
      <c r="C42" s="2" t="s">
        <v>160</v>
      </c>
      <c r="D42" s="2" t="s">
        <v>161</v>
      </c>
      <c r="E42" s="7" t="s">
        <v>35</v>
      </c>
      <c r="F42" s="2" t="s">
        <v>162</v>
      </c>
    </row>
    <row r="43" customFormat="false" ht="23.85" hidden="false" customHeight="false" outlineLevel="0" collapsed="false">
      <c r="A43" s="4" t="s">
        <v>149</v>
      </c>
      <c r="B43" s="4" t="s">
        <v>163</v>
      </c>
      <c r="C43" s="4" t="s">
        <v>164</v>
      </c>
      <c r="D43" s="4" t="s">
        <v>165</v>
      </c>
      <c r="E43" s="6" t="s">
        <v>19</v>
      </c>
      <c r="F43" s="4" t="s">
        <v>166</v>
      </c>
    </row>
    <row r="44" customFormat="false" ht="23.85" hidden="false" customHeight="false" outlineLevel="0" collapsed="false">
      <c r="A44" s="2" t="s">
        <v>149</v>
      </c>
      <c r="B44" s="2" t="s">
        <v>167</v>
      </c>
      <c r="C44" s="2" t="s">
        <v>168</v>
      </c>
      <c r="D44" s="2" t="s">
        <v>169</v>
      </c>
      <c r="E44" s="6" t="s">
        <v>19</v>
      </c>
      <c r="F44" s="2" t="s">
        <v>170</v>
      </c>
    </row>
    <row r="45" customFormat="false" ht="23.85" hidden="false" customHeight="false" outlineLevel="0" collapsed="false">
      <c r="A45" s="4" t="s">
        <v>149</v>
      </c>
      <c r="B45" s="4" t="s">
        <v>171</v>
      </c>
      <c r="C45" s="4" t="s">
        <v>172</v>
      </c>
      <c r="D45" s="4" t="s">
        <v>82</v>
      </c>
      <c r="E45" s="7" t="s">
        <v>35</v>
      </c>
      <c r="F45" s="4" t="s">
        <v>173</v>
      </c>
    </row>
    <row r="46" customFormat="false" ht="23.85" hidden="false" customHeight="false" outlineLevel="0" collapsed="false">
      <c r="A46" s="2" t="s">
        <v>149</v>
      </c>
      <c r="B46" s="2" t="s">
        <v>174</v>
      </c>
      <c r="C46" s="2" t="s">
        <v>175</v>
      </c>
      <c r="D46" s="2" t="s">
        <v>82</v>
      </c>
      <c r="E46" s="7" t="s">
        <v>35</v>
      </c>
      <c r="F46" s="2" t="s">
        <v>173</v>
      </c>
    </row>
    <row r="47" customFormat="false" ht="23.85" hidden="false" customHeight="false" outlineLevel="0" collapsed="false">
      <c r="A47" s="4" t="s">
        <v>149</v>
      </c>
      <c r="B47" s="4" t="s">
        <v>176</v>
      </c>
      <c r="C47" s="4" t="s">
        <v>177</v>
      </c>
      <c r="D47" s="4" t="s">
        <v>82</v>
      </c>
      <c r="E47" s="7" t="s">
        <v>35</v>
      </c>
      <c r="F47" s="4" t="s">
        <v>173</v>
      </c>
    </row>
    <row r="48" customFormat="false" ht="23.85" hidden="false" customHeight="false" outlineLevel="0" collapsed="false">
      <c r="A48" s="2" t="s">
        <v>149</v>
      </c>
      <c r="B48" s="2" t="s">
        <v>178</v>
      </c>
      <c r="C48" s="2" t="s">
        <v>179</v>
      </c>
      <c r="D48" s="2" t="s">
        <v>82</v>
      </c>
      <c r="E48" s="7" t="s">
        <v>35</v>
      </c>
      <c r="F48" s="2" t="s">
        <v>173</v>
      </c>
    </row>
    <row r="49" customFormat="false" ht="23.85" hidden="false" customHeight="false" outlineLevel="0" collapsed="false">
      <c r="A49" s="4" t="s">
        <v>149</v>
      </c>
      <c r="B49" s="4" t="s">
        <v>180</v>
      </c>
      <c r="C49" s="4" t="s">
        <v>181</v>
      </c>
      <c r="D49" s="4" t="s">
        <v>82</v>
      </c>
      <c r="E49" s="7" t="s">
        <v>35</v>
      </c>
      <c r="F49" s="4" t="s">
        <v>182</v>
      </c>
    </row>
    <row r="50" customFormat="false" ht="23.85" hidden="false" customHeight="false" outlineLevel="0" collapsed="false">
      <c r="A50" s="2" t="s">
        <v>149</v>
      </c>
      <c r="B50" s="2" t="s">
        <v>183</v>
      </c>
      <c r="C50" s="2" t="s">
        <v>184</v>
      </c>
      <c r="D50" s="2" t="s">
        <v>82</v>
      </c>
      <c r="E50" s="7" t="s">
        <v>35</v>
      </c>
      <c r="F50" s="2" t="s">
        <v>173</v>
      </c>
    </row>
    <row r="51" customFormat="false" ht="23.85" hidden="false" customHeight="false" outlineLevel="0" collapsed="false">
      <c r="A51" s="4" t="s">
        <v>149</v>
      </c>
      <c r="B51" s="4" t="s">
        <v>185</v>
      </c>
      <c r="C51" s="4" t="s">
        <v>186</v>
      </c>
      <c r="D51" s="4" t="s">
        <v>82</v>
      </c>
      <c r="E51" s="7" t="s">
        <v>35</v>
      </c>
      <c r="F51" s="4" t="s">
        <v>173</v>
      </c>
    </row>
  </sheetData>
  <autoFilter ref="A1:F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8" t="s">
        <v>187</v>
      </c>
    </row>
    <row r="3" customFormat="false" ht="15" hidden="false" customHeight="false" outlineLevel="0" collapsed="false">
      <c r="A3" s="9" t="s">
        <v>4</v>
      </c>
      <c r="B3" s="9" t="s">
        <v>188</v>
      </c>
      <c r="C3" s="9" t="s">
        <v>189</v>
      </c>
    </row>
    <row r="4" customFormat="false" ht="15" hidden="false" customHeight="false" outlineLevel="0" collapsed="false">
      <c r="A4" s="10" t="s">
        <v>19</v>
      </c>
      <c r="B4" s="11" t="n">
        <f aca="false">COUNTIF('De-Para (pt-br)'!E:E,A4)</f>
        <v>8</v>
      </c>
      <c r="C4" s="12" t="n">
        <f aca="false">B4/$B$8</f>
        <v>0.16</v>
      </c>
    </row>
    <row r="5" customFormat="false" ht="15" hidden="false" customHeight="false" outlineLevel="0" collapsed="false">
      <c r="A5" s="13" t="s">
        <v>14</v>
      </c>
      <c r="B5" s="11" t="n">
        <f aca="false">COUNTIF('De-Para (pt-br)'!E:E,A5)</f>
        <v>11</v>
      </c>
      <c r="C5" s="12" t="n">
        <f aca="false">B5/$B$8</f>
        <v>0.22</v>
      </c>
    </row>
    <row r="6" customFormat="false" ht="15" hidden="false" customHeight="false" outlineLevel="0" collapsed="false">
      <c r="A6" s="14" t="s">
        <v>9</v>
      </c>
      <c r="B6" s="11" t="n">
        <f aca="false">COUNTIF('De-Para (pt-br)'!E:E,A6)</f>
        <v>8</v>
      </c>
      <c r="C6" s="12" t="n">
        <f aca="false">B6/$B$8</f>
        <v>0.16</v>
      </c>
    </row>
    <row r="7" customFormat="false" ht="15" hidden="false" customHeight="false" outlineLevel="0" collapsed="false">
      <c r="A7" s="15" t="s">
        <v>35</v>
      </c>
      <c r="B7" s="11" t="n">
        <f aca="false">COUNTIF('De-Para (pt-br)'!E:E,A7)</f>
        <v>23</v>
      </c>
      <c r="C7" s="12" t="n">
        <f aca="false">B7/$B$8</f>
        <v>0.46</v>
      </c>
    </row>
    <row r="8" customFormat="false" ht="15" hidden="false" customHeight="false" outlineLevel="0" collapsed="false">
      <c r="A8" s="16" t="s">
        <v>190</v>
      </c>
      <c r="B8" s="16" t="n">
        <f aca="false">SUM(B4:B7)</f>
        <v>50</v>
      </c>
      <c r="C8" s="12" t="n">
        <f aca="false">B8/B8</f>
        <v>1</v>
      </c>
    </row>
    <row r="11" customFormat="false" ht="15" hidden="false" customHeight="false" outlineLevel="0" collapsed="false">
      <c r="A11" s="17" t="s">
        <v>191</v>
      </c>
    </row>
    <row r="12" customFormat="false" ht="15" hidden="false" customHeight="false" outlineLevel="0" collapsed="false">
      <c r="A12" s="18" t="s">
        <v>192</v>
      </c>
    </row>
    <row r="13" customFormat="false" ht="15" hidden="false" customHeight="false" outlineLevel="0" collapsed="false">
      <c r="A13" s="18" t="s">
        <v>193</v>
      </c>
    </row>
    <row r="14" customFormat="false" ht="15" hidden="false" customHeight="false" outlineLevel="0" collapsed="false">
      <c r="A14" s="18" t="s">
        <v>194</v>
      </c>
    </row>
    <row r="15" customFormat="false" ht="15" hidden="false" customHeight="false" outlineLevel="0" collapsed="false">
      <c r="A15" s="18" t="s">
        <v>195</v>
      </c>
    </row>
    <row r="16" customFormat="false" ht="15" hidden="false" customHeight="false" outlineLevel="0" collapsed="false">
      <c r="A16" s="18"/>
    </row>
    <row r="17" customFormat="false" ht="15" hidden="false" customHeight="false" outlineLevel="0" collapsed="false">
      <c r="A17" s="17" t="s">
        <v>196</v>
      </c>
    </row>
    <row r="18" customFormat="false" ht="15" hidden="false" customHeight="false" outlineLevel="0" collapsed="false">
      <c r="A18" s="18" t="s">
        <v>197</v>
      </c>
    </row>
    <row r="19" customFormat="false" ht="15" hidden="false" customHeight="false" outlineLevel="0" collapsed="false">
      <c r="A19" s="18" t="s">
        <v>198</v>
      </c>
    </row>
    <row r="20" customFormat="false" ht="15" hidden="false" customHeight="false" outlineLevel="0" collapsed="false">
      <c r="A20" s="18" t="s">
        <v>199</v>
      </c>
    </row>
    <row r="21" customFormat="false" ht="15" hidden="false" customHeight="false" outlineLevel="0" collapsed="false">
      <c r="A21" s="18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2026-07-07T16:55:36Z</dcterms:created>
  <dc:creator>openpyxl</dc:creator>
  <dc:description/>
  <dc:language>en-US</dc:language>
  <cp:lastModifiedBy/>
  <dcterms:modified xsi:type="dcterms:W3CDTF">2026-07-07T16:55:36Z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